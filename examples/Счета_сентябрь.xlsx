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чета" sheetId="1" state="visible" r:id="rId3"/>
    <sheet name="Позиции" sheetId="2" state="visible" r:id="rId4"/>
    <sheet name="О файле" sheetId="3" state="visible" r:id="rId5"/>
  </sheets>
  <definedNames>
    <definedName function="false" hidden="true" localSheetId="1" name="_xlnm._FilterDatabase" vbProcedure="false">Позиции!$A$1:$K$30</definedName>
    <definedName function="false" hidden="true" localSheetId="0" name="_xlnm._FilterDatabase" vbProcedure="false">Счета!$A$1:$M$13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<sst xmlns="http://schemas.openxmlformats.org/spreadsheetml/2006/main" count="224" uniqueCount="98">
  <si>
    <t xml:space="preserve">Файл</t>
  </si>
  <si>
    <t xml:space="preserve">Источник</t>
  </si>
  <si>
    <t xml:space="preserve">№ счёта</t>
  </si>
  <si>
    <t xml:space="preserve">Дата</t>
  </si>
  <si>
    <t xml:space="preserve">Поставщик</t>
  </si>
  <si>
    <t xml:space="preserve">ИНН поставщика</t>
  </si>
  <si>
    <t xml:space="preserve">Покупатель</t>
  </si>
  <si>
    <t xml:space="preserve">Позиций</t>
  </si>
  <si>
    <t xml:space="preserve">Итого по счёту, ₽</t>
  </si>
  <si>
    <t xml:space="preserve">Сумма позиций, ₽</t>
  </si>
  <si>
    <t xml:space="preserve">Расхождение, ₽</t>
  </si>
  <si>
    <t xml:space="preserve">Проверка</t>
  </si>
  <si>
    <t xml:space="preserve">Что не распознано</t>
  </si>
  <si>
    <t xml:space="preserve">Счёт_147_Северная_бумага.pdf</t>
  </si>
  <si>
    <t xml:space="preserve">PDF с текстом</t>
  </si>
  <si>
    <t xml:space="preserve">147</t>
  </si>
  <si>
    <t xml:space="preserve">ООО «Северная бумага»</t>
  </si>
  <si>
    <t xml:space="preserve">1016613181</t>
  </si>
  <si>
    <t xml:space="preserve">ООО «Лайм Логистик»</t>
  </si>
  <si>
    <t xml:space="preserve">schet_TP-0912.pdf</t>
  </si>
  <si>
    <t xml:space="preserve">ТП-0912</t>
  </si>
  <si>
    <t xml:space="preserve">ООО «Техснаб-Плюс»</t>
  </si>
  <si>
    <t xml:space="preserve">4628194823</t>
  </si>
  <si>
    <t xml:space="preserve">Ковалёва_счёт_58.pdf</t>
  </si>
  <si>
    <t xml:space="preserve">58</t>
  </si>
  <si>
    <t xml:space="preserve">ИП Ковалёва Марина Игоревна</t>
  </si>
  <si>
    <t xml:space="preserve">313909960378</t>
  </si>
  <si>
    <t xml:space="preserve">IMG_2041.jpg</t>
  </si>
  <si>
    <t xml:space="preserve">фото/скан, распознан</t>
  </si>
  <si>
    <t xml:space="preserve">1204</t>
  </si>
  <si>
    <t xml:space="preserve">ООО «Чистый офис»</t>
  </si>
  <si>
    <t xml:space="preserve">7181909376</t>
  </si>
  <si>
    <t xml:space="preserve">Вода_сентябрь.pdf</t>
  </si>
  <si>
    <t xml:space="preserve">311</t>
  </si>
  <si>
    <t xml:space="preserve">ИП Орлов Денис Сергеевич</t>
  </si>
  <si>
    <t xml:space="preserve">979754323194</t>
  </si>
  <si>
    <t xml:space="preserve">скан_счёт_МД-77.pdf</t>
  </si>
  <si>
    <t xml:space="preserve">скан в PDF, распознан</t>
  </si>
  <si>
    <t xml:space="preserve">МД-77</t>
  </si>
  <si>
    <t xml:space="preserve">ООО «Мебельный двор»</t>
  </si>
  <si>
    <t xml:space="preserve">6574911867</t>
  </si>
  <si>
    <t xml:space="preserve">единицы измерения (строк: 1)</t>
  </si>
  <si>
    <t xml:space="preserve">Счёт_152_Северная_бумага.pdf</t>
  </si>
  <si>
    <t xml:space="preserve">152</t>
  </si>
  <si>
    <t xml:space="preserve">IMG_2087.jpg</t>
  </si>
  <si>
    <t xml:space="preserve">ТП-0937</t>
  </si>
  <si>
    <t xml:space="preserve">Чистый_офис_1239.pdf</t>
  </si>
  <si>
    <t xml:space="preserve">1239</t>
  </si>
  <si>
    <t xml:space="preserve">scan_0003.pdf</t>
  </si>
  <si>
    <t xml:space="preserve">64</t>
  </si>
  <si>
    <t xml:space="preserve">Вода_сентябрь_2.pdf</t>
  </si>
  <si>
    <t xml:space="preserve">329</t>
  </si>
  <si>
    <t xml:space="preserve">Мебельный_двор_МД-81.pdf</t>
  </si>
  <si>
    <t xml:space="preserve">МД-81</t>
  </si>
  <si>
    <t xml:space="preserve">Итого по всем счетам</t>
  </si>
  <si>
    <t xml:space="preserve">№</t>
  </si>
  <si>
    <t xml:space="preserve">Наименование</t>
  </si>
  <si>
    <t xml:space="preserve">Кол-во</t>
  </si>
  <si>
    <t xml:space="preserve">Ед.</t>
  </si>
  <si>
    <t xml:space="preserve">Цена, ₽</t>
  </si>
  <si>
    <t xml:space="preserve">Сумма в счёте, ₽</t>
  </si>
  <si>
    <t xml:space="preserve">Кол-во × цена, ₽</t>
  </si>
  <si>
    <t xml:space="preserve">Строка сходится</t>
  </si>
  <si>
    <t xml:space="preserve">Примечание</t>
  </si>
  <si>
    <t xml:space="preserve">Стикеры 76×76 мм, 100 листов</t>
  </si>
  <si>
    <t xml:space="preserve">шт</t>
  </si>
  <si>
    <t xml:space="preserve">Скобы для степлера №24/6, 1000 шт.</t>
  </si>
  <si>
    <t xml:space="preserve">уп</t>
  </si>
  <si>
    <t xml:space="preserve">Мышь компьютерная проводная</t>
  </si>
  <si>
    <t xml:space="preserve">Кабель USB 2.0, 1,8 м</t>
  </si>
  <si>
    <t xml:space="preserve">Клавиатура проводная</t>
  </si>
  <si>
    <t xml:space="preserve">Картридж для лазерного принтера, чёрный</t>
  </si>
  <si>
    <t xml:space="preserve">Печать листовок А5, 500 шт.</t>
  </si>
  <si>
    <t xml:space="preserve">усл</t>
  </si>
  <si>
    <t xml:space="preserve">Ламинирование А4</t>
  </si>
  <si>
    <t xml:space="preserve">Средство для мытья полов, 5 л</t>
  </si>
  <si>
    <t xml:space="preserve">Мешки для мусора 120 л, 10 шт.</t>
  </si>
  <si>
    <t xml:space="preserve">Аренда кулера, месяц</t>
  </si>
  <si>
    <t xml:space="preserve">Вода питьевая, бутыль 19 л</t>
  </si>
  <si>
    <t xml:space="preserve">бут</t>
  </si>
  <si>
    <t xml:space="preserve">Стул офисный на колёсиках</t>
  </si>
  <si>
    <t xml:space="preserve">кол-во по сумме, ед. не распознана</t>
  </si>
  <si>
    <t xml:space="preserve">Тумба приставная, 3 ящика</t>
  </si>
  <si>
    <t xml:space="preserve">Ручка шариковая синяя</t>
  </si>
  <si>
    <t xml:space="preserve">Перчатки латексные</t>
  </si>
  <si>
    <t xml:space="preserve">пар</t>
  </si>
  <si>
    <t xml:space="preserve">Бумажные полотенца, 2 рулона</t>
  </si>
  <si>
    <t xml:space="preserve">Печать визиток, 1000 шт.</t>
  </si>
  <si>
    <t xml:space="preserve">Что это</t>
  </si>
  <si>
    <t xml:space="preserve">Сводка счетов на оплату, собранная скриптом из PDF, сканов и фото.</t>
  </si>
  <si>
    <t xml:space="preserve">Счета</t>
  </si>
  <si>
    <t xml:space="preserve">Одна строка на документ. Столбцы J–L считаются формулами по листу «Позиции».</t>
  </si>
  <si>
    <t xml:space="preserve">Позиции</t>
  </si>
  <si>
    <t xml:space="preserve">Все строки товаров и услуг из счетов. Столбцы I–J — формулы проверки.</t>
  </si>
  <si>
    <t xml:space="preserve">Проверка «ок»</t>
  </si>
  <si>
    <t xml:space="preserve">Сумма позиций совпала с итогом в документе, все поля распознаны.</t>
  </si>
  <si>
    <t xml:space="preserve">Проверка «проверить»</t>
  </si>
  <si>
    <t xml:space="preserve">Итог в документе не совпал с суммой позиций или поле не распознано. Такие строки подсвечены жёлтым, их стоит сверить с оригиналом.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</si>
</sst>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7A4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CD"/>
      </left>
      <right style="thin">
        <color rgb="FFC9D4CD"/>
      </right>
      <top style="thin">
        <color rgb="FFC9D4CD"/>
      </top>
      <bottom style="thin">
        <color rgb="FFC9D4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C7A4E"/>
          <bgColor rgb="FF000000"/>
        </patternFill>
      </fill>
    </dxf>
    <dxf>
      <fill>
        <patternFill patternType="solid">
          <fgColor rgb="FFFFF1B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1B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7A4E"/>
      <rgbColor rgb="FFC9D4CD"/>
      <rgbColor rgb="FF808080"/>
      <rgbColor rgb="FF9999FF"/>
      <rgbColor rgb="FF993366"/>
      <rgbColor rgb="FFFFF1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4" min="3" style="1" width="11"/>
    <col collapsed="false" customWidth="true" hidden="false" outlineLevel="0" max="5" min="5" style="1" width="30"/>
    <col collapsed="false" customWidth="true" hidden="false" outlineLevel="0" max="6" min="6" style="1" width="15"/>
    <col collapsed="false" customWidth="true" hidden="false" outlineLevel="0" max="7" min="7" style="1" width="22"/>
    <col collapsed="false" customWidth="true" hidden="false" outlineLevel="0" max="8" min="8" style="1" width="9"/>
    <col collapsed="false" customWidth="true" hidden="false" outlineLevel="0" max="10" min="9" style="1" width="15"/>
    <col collapsed="false" customWidth="true" hidden="false" outlineLevel="0" max="11" min="11" style="1" width="13"/>
    <col collapsed="false" customWidth="true" hidden="false" outlineLevel="0" max="12" min="12" style="1" width="11"/>
    <col collapsed="false" customWidth="true" hidden="false" outlineLevel="0" max="13" min="13" style="1" width="22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3" t="s">
        <v>13</v>
      </c>
      <c r="B2" s="3" t="s">
        <v>14</v>
      </c>
      <c r="C2" s="3" t="s">
        <v>15</v>
      </c>
      <c r="D2" s="4" t="n">
        <v>46266</v>
      </c>
      <c r="E2" s="3" t="s">
        <v>16</v>
      </c>
      <c r="F2" s="3" t="s">
        <v>17</v>
      </c>
      <c r="G2" s="3" t="s">
        <v>18</v>
      </c>
      <c r="H2" s="3" t="n">
        <v>2</v>
      </c>
      <c r="I2" s="5" t="n">
        <v>501</v>
      </c>
      <c r="J2" s="5" t="n">
        <f aca="false">SUMIFS(Позиции!$H:$H,Позиции!$A:$A,$A2)</f>
        <v>501</v>
      </c>
      <c r="K2" s="5" t="n">
        <f aca="false">IF(I2="","",ROUND(I2-J2,2))</f>
        <v>0</v>
      </c>
      <c r="L2" s="3" t="str">
        <f aca="false">IF(OR(M2&lt;&gt;"",K2=""),"проверить",IF(ABS(K2)&lt;0.01,"ок","проверить"))</f>
        <v>ок</v>
      </c>
      <c r="M2" s="3"/>
    </row>
    <row r="3" customFormat="false" ht="15" hidden="false" customHeight="false" outlineLevel="0" collapsed="false">
      <c r="A3" s="3" t="s">
        <v>19</v>
      </c>
      <c r="B3" s="3" t="s">
        <v>14</v>
      </c>
      <c r="C3" s="3" t="s">
        <v>20</v>
      </c>
      <c r="D3" s="4" t="n">
        <v>46267</v>
      </c>
      <c r="E3" s="3" t="s">
        <v>21</v>
      </c>
      <c r="F3" s="3" t="s">
        <v>22</v>
      </c>
      <c r="G3" s="3" t="s">
        <v>18</v>
      </c>
      <c r="H3" s="3" t="n">
        <v>4</v>
      </c>
      <c r="I3" s="5" t="n">
        <v>12280</v>
      </c>
      <c r="J3" s="5" t="n">
        <f aca="false">SUMIFS(Позиции!$H:$H,Позиции!$A:$A,$A3)</f>
        <v>12280</v>
      </c>
      <c r="K3" s="5" t="n">
        <f aca="false">IF(I3="","",ROUND(I3-J3,2))</f>
        <v>0</v>
      </c>
      <c r="L3" s="3" t="str">
        <f aca="false">IF(OR(M3&lt;&gt;"",K3=""),"проверить",IF(ABS(K3)&lt;0.01,"ок","проверить"))</f>
        <v>ок</v>
      </c>
      <c r="M3" s="3"/>
    </row>
    <row r="4" customFormat="false" ht="15" hidden="false" customHeight="false" outlineLevel="0" collapsed="false">
      <c r="A4" s="3" t="s">
        <v>23</v>
      </c>
      <c r="B4" s="3" t="s">
        <v>14</v>
      </c>
      <c r="C4" s="3" t="s">
        <v>24</v>
      </c>
      <c r="D4" s="4" t="n">
        <v>46268</v>
      </c>
      <c r="E4" s="3" t="s">
        <v>25</v>
      </c>
      <c r="F4" s="3" t="s">
        <v>26</v>
      </c>
      <c r="G4" s="3" t="s">
        <v>18</v>
      </c>
      <c r="H4" s="3" t="n">
        <v>2</v>
      </c>
      <c r="I4" s="5" t="n">
        <v>10845</v>
      </c>
      <c r="J4" s="5" t="n">
        <f aca="false">SUMIFS(Позиции!$H:$H,Позиции!$A:$A,$A4)</f>
        <v>10845</v>
      </c>
      <c r="K4" s="5" t="n">
        <f aca="false">IF(I4="","",ROUND(I4-J4,2))</f>
        <v>0</v>
      </c>
      <c r="L4" s="3" t="str">
        <f aca="false">IF(OR(M4&lt;&gt;"",K4=""),"проверить",IF(ABS(K4)&lt;0.01,"ок","проверить"))</f>
        <v>ок</v>
      </c>
      <c r="M4" s="3"/>
    </row>
    <row r="5" customFormat="false" ht="15" hidden="false" customHeight="false" outlineLevel="0" collapsed="false">
      <c r="A5" s="3" t="s">
        <v>27</v>
      </c>
      <c r="B5" s="3" t="s">
        <v>28</v>
      </c>
      <c r="C5" s="3" t="s">
        <v>29</v>
      </c>
      <c r="D5" s="4" t="n">
        <v>46269</v>
      </c>
      <c r="E5" s="3" t="s">
        <v>30</v>
      </c>
      <c r="F5" s="3" t="s">
        <v>31</v>
      </c>
      <c r="G5" s="3" t="s">
        <v>18</v>
      </c>
      <c r="H5" s="3" t="n">
        <v>2</v>
      </c>
      <c r="I5" s="5" t="n">
        <v>3855</v>
      </c>
      <c r="J5" s="5" t="n">
        <f aca="false">SUMIFS(Позиции!$H:$H,Позиции!$A:$A,$A5)</f>
        <v>3855</v>
      </c>
      <c r="K5" s="5" t="n">
        <f aca="false">IF(I5="","",ROUND(I5-J5,2))</f>
        <v>0</v>
      </c>
      <c r="L5" s="3" t="str">
        <f aca="false">IF(OR(M5&lt;&gt;"",K5=""),"проверить",IF(ABS(K5)&lt;0.01,"ок","проверить"))</f>
        <v>ок</v>
      </c>
      <c r="M5" s="3"/>
    </row>
    <row r="6" customFormat="false" ht="15" hidden="false" customHeight="false" outlineLevel="0" collapsed="false">
      <c r="A6" s="3" t="s">
        <v>32</v>
      </c>
      <c r="B6" s="3" t="s">
        <v>14</v>
      </c>
      <c r="C6" s="3" t="s">
        <v>33</v>
      </c>
      <c r="D6" s="4" t="n">
        <v>46272</v>
      </c>
      <c r="E6" s="3" t="s">
        <v>34</v>
      </c>
      <c r="F6" s="3" t="s">
        <v>35</v>
      </c>
      <c r="G6" s="3" t="s">
        <v>18</v>
      </c>
      <c r="H6" s="3" t="n">
        <v>2</v>
      </c>
      <c r="I6" s="5" t="n">
        <v>4510</v>
      </c>
      <c r="J6" s="5" t="n">
        <f aca="false">SUMIFS(Позиции!$H:$H,Позиции!$A:$A,$A6)</f>
        <v>4510</v>
      </c>
      <c r="K6" s="5" t="n">
        <f aca="false">IF(I6="","",ROUND(I6-J6,2))</f>
        <v>0</v>
      </c>
      <c r="L6" s="3" t="str">
        <f aca="false">IF(OR(M6&lt;&gt;"",K6=""),"проверить",IF(ABS(K6)&lt;0.01,"ок","проверить"))</f>
        <v>ок</v>
      </c>
      <c r="M6" s="3"/>
    </row>
    <row r="7" customFormat="false" ht="15" hidden="false" customHeight="false" outlineLevel="0" collapsed="false">
      <c r="A7" s="3" t="s">
        <v>36</v>
      </c>
      <c r="B7" s="3" t="s">
        <v>37</v>
      </c>
      <c r="C7" s="3" t="s">
        <v>38</v>
      </c>
      <c r="D7" s="4" t="n">
        <v>46273</v>
      </c>
      <c r="E7" s="3" t="s">
        <v>39</v>
      </c>
      <c r="F7" s="3" t="s">
        <v>40</v>
      </c>
      <c r="G7" s="3" t="s">
        <v>18</v>
      </c>
      <c r="H7" s="3" t="n">
        <v>2</v>
      </c>
      <c r="I7" s="5" t="n">
        <v>15340</v>
      </c>
      <c r="J7" s="5" t="n">
        <f aca="false">SUMIFS(Позиции!$H:$H,Позиции!$A:$A,$A7)</f>
        <v>15340</v>
      </c>
      <c r="K7" s="5" t="n">
        <f aca="false">IF(I7="","",ROUND(I7-J7,2))</f>
        <v>0</v>
      </c>
      <c r="L7" s="3" t="str">
        <f aca="false">IF(OR(M7&lt;&gt;"",K7=""),"проверить",IF(ABS(K7)&lt;0.01,"ок","проверить"))</f>
        <v>проверить</v>
      </c>
      <c r="M7" s="3" t="s">
        <v>41</v>
      </c>
    </row>
    <row r="8" customFormat="false" ht="15" hidden="false" customHeight="false" outlineLevel="0" collapsed="false">
      <c r="A8" s="3" t="s">
        <v>42</v>
      </c>
      <c r="B8" s="3" t="s">
        <v>14</v>
      </c>
      <c r="C8" s="3" t="s">
        <v>43</v>
      </c>
      <c r="D8" s="4" t="n">
        <v>46275</v>
      </c>
      <c r="E8" s="3" t="s">
        <v>16</v>
      </c>
      <c r="F8" s="3" t="s">
        <v>17</v>
      </c>
      <c r="G8" s="3" t="s">
        <v>18</v>
      </c>
      <c r="H8" s="3" t="n">
        <v>2</v>
      </c>
      <c r="I8" s="5" t="n">
        <v>2027</v>
      </c>
      <c r="J8" s="5" t="n">
        <f aca="false">SUMIFS(Позиции!$H:$H,Позиции!$A:$A,$A8)</f>
        <v>2027</v>
      </c>
      <c r="K8" s="5" t="n">
        <f aca="false">IF(I8="","",ROUND(I8-J8,2))</f>
        <v>0</v>
      </c>
      <c r="L8" s="3" t="str">
        <f aca="false">IF(OR(M8&lt;&gt;"",K8=""),"проверить",IF(ABS(K8)&lt;0.01,"ок","проверить"))</f>
        <v>ок</v>
      </c>
      <c r="M8" s="3"/>
    </row>
    <row r="9" customFormat="false" ht="15" hidden="false" customHeight="false" outlineLevel="0" collapsed="false">
      <c r="A9" s="3" t="s">
        <v>44</v>
      </c>
      <c r="B9" s="3" t="s">
        <v>28</v>
      </c>
      <c r="C9" s="3" t="s">
        <v>45</v>
      </c>
      <c r="D9" s="4" t="n">
        <v>46279</v>
      </c>
      <c r="E9" s="3" t="s">
        <v>21</v>
      </c>
      <c r="F9" s="3" t="s">
        <v>22</v>
      </c>
      <c r="G9" s="3" t="s">
        <v>18</v>
      </c>
      <c r="H9" s="3" t="n">
        <v>3</v>
      </c>
      <c r="I9" s="5" t="n">
        <v>15760</v>
      </c>
      <c r="J9" s="5" t="n">
        <f aca="false">SUMIFS(Позиции!$H:$H,Позиции!$A:$A,$A9)</f>
        <v>15760</v>
      </c>
      <c r="K9" s="5" t="n">
        <f aca="false">IF(I9="","",ROUND(I9-J9,2))</f>
        <v>0</v>
      </c>
      <c r="L9" s="3" t="str">
        <f aca="false">IF(OR(M9&lt;&gt;"",K9=""),"проверить",IF(ABS(K9)&lt;0.01,"ок","проверить"))</f>
        <v>ок</v>
      </c>
      <c r="M9" s="3"/>
    </row>
    <row r="10" customFormat="false" ht="15" hidden="false" customHeight="false" outlineLevel="0" collapsed="false">
      <c r="A10" s="3" t="s">
        <v>46</v>
      </c>
      <c r="B10" s="3" t="s">
        <v>14</v>
      </c>
      <c r="C10" s="3" t="s">
        <v>47</v>
      </c>
      <c r="D10" s="4" t="n">
        <v>46281</v>
      </c>
      <c r="E10" s="3" t="s">
        <v>30</v>
      </c>
      <c r="F10" s="3" t="s">
        <v>31</v>
      </c>
      <c r="G10" s="3" t="s">
        <v>18</v>
      </c>
      <c r="H10" s="3" t="n">
        <v>4</v>
      </c>
      <c r="I10" s="5" t="n">
        <v>6164</v>
      </c>
      <c r="J10" s="5" t="n">
        <f aca="false">SUMIFS(Позиции!$H:$H,Позиции!$A:$A,$A10)</f>
        <v>5264</v>
      </c>
      <c r="K10" s="5" t="n">
        <f aca="false">IF(I10="","",ROUND(I10-J10,2))</f>
        <v>900</v>
      </c>
      <c r="L10" s="3" t="str">
        <f aca="false">IF(OR(M10&lt;&gt;"",K10=""),"проверить",IF(ABS(K10)&lt;0.01,"ок","проверить"))</f>
        <v>проверить</v>
      </c>
      <c r="M10" s="3"/>
    </row>
    <row r="11" customFormat="false" ht="15" hidden="false" customHeight="false" outlineLevel="0" collapsed="false">
      <c r="A11" s="3" t="s">
        <v>48</v>
      </c>
      <c r="B11" s="3" t="s">
        <v>37</v>
      </c>
      <c r="C11" s="3" t="s">
        <v>49</v>
      </c>
      <c r="D11" s="4" t="n">
        <v>46286</v>
      </c>
      <c r="E11" s="3" t="s">
        <v>25</v>
      </c>
      <c r="F11" s="3" t="s">
        <v>26</v>
      </c>
      <c r="G11" s="3" t="s">
        <v>18</v>
      </c>
      <c r="H11" s="3" t="n">
        <v>2</v>
      </c>
      <c r="I11" s="5" t="n">
        <v>2850</v>
      </c>
      <c r="J11" s="5" t="n">
        <f aca="false">SUMIFS(Позиции!$H:$H,Позиции!$A:$A,$A11)</f>
        <v>2850</v>
      </c>
      <c r="K11" s="5" t="n">
        <f aca="false">IF(I11="","",ROUND(I11-J11,2))</f>
        <v>0</v>
      </c>
      <c r="L11" s="3" t="str">
        <f aca="false">IF(OR(M11&lt;&gt;"",K11=""),"проверить",IF(ABS(K11)&lt;0.01,"ок","проверить"))</f>
        <v>ок</v>
      </c>
      <c r="M11" s="3"/>
    </row>
    <row r="12" customFormat="false" ht="15" hidden="false" customHeight="false" outlineLevel="0" collapsed="false">
      <c r="A12" s="3" t="s">
        <v>50</v>
      </c>
      <c r="B12" s="3" t="s">
        <v>14</v>
      </c>
      <c r="C12" s="3" t="s">
        <v>51</v>
      </c>
      <c r="D12" s="4" t="n">
        <v>46289</v>
      </c>
      <c r="E12" s="3" t="s">
        <v>34</v>
      </c>
      <c r="F12" s="3" t="s">
        <v>35</v>
      </c>
      <c r="G12" s="3" t="s">
        <v>18</v>
      </c>
      <c r="H12" s="3" t="n">
        <v>2</v>
      </c>
      <c r="I12" s="5" t="n">
        <v>2840</v>
      </c>
      <c r="J12" s="5" t="n">
        <f aca="false">SUMIFS(Позиции!$H:$H,Позиции!$A:$A,$A12)</f>
        <v>2840</v>
      </c>
      <c r="K12" s="5" t="n">
        <f aca="false">IF(I12="","",ROUND(I12-J12,2))</f>
        <v>0</v>
      </c>
      <c r="L12" s="3" t="str">
        <f aca="false">IF(OR(M12&lt;&gt;"",K12=""),"проверить",IF(ABS(K12)&lt;0.01,"ок","проверить"))</f>
        <v>ок</v>
      </c>
      <c r="M12" s="3"/>
    </row>
    <row r="13" customFormat="false" ht="15" hidden="false" customHeight="false" outlineLevel="0" collapsed="false">
      <c r="A13" s="3" t="s">
        <v>52</v>
      </c>
      <c r="B13" s="3" t="s">
        <v>14</v>
      </c>
      <c r="C13" s="3" t="s">
        <v>53</v>
      </c>
      <c r="D13" s="4" t="n">
        <v>46293</v>
      </c>
      <c r="E13" s="3" t="s">
        <v>39</v>
      </c>
      <c r="F13" s="3" t="s">
        <v>40</v>
      </c>
      <c r="G13" s="3" t="s">
        <v>18</v>
      </c>
      <c r="H13" s="3" t="n">
        <v>2</v>
      </c>
      <c r="I13" s="5" t="n">
        <v>49790</v>
      </c>
      <c r="J13" s="5" t="n">
        <f aca="false">SUMIFS(Позиции!$H:$H,Позиции!$A:$A,$A13)</f>
        <v>49790</v>
      </c>
      <c r="K13" s="5" t="n">
        <f aca="false">IF(I13="","",ROUND(I13-J13,2))</f>
        <v>0</v>
      </c>
      <c r="L13" s="3" t="str">
        <f aca="false">IF(OR(M13&lt;&gt;"",K13=""),"проверить",IF(ABS(K13)&lt;0.01,"ок","проверить"))</f>
        <v>ок</v>
      </c>
      <c r="M13" s="3"/>
    </row>
    <row r="14" customFormat="false" ht="15" hidden="false" customHeight="false" outlineLevel="0" collapsed="false">
      <c r="A14" s="6" t="s">
        <v>54</v>
      </c>
      <c r="B14" s="6"/>
      <c r="C14" s="6"/>
      <c r="D14" s="7"/>
      <c r="E14" s="6"/>
      <c r="F14" s="6"/>
      <c r="G14" s="6"/>
      <c r="H14" s="6"/>
      <c r="I14" s="8" t="n">
        <f aca="false">SUM(I2:I13)</f>
        <v>126762</v>
      </c>
      <c r="J14" s="8" t="n">
        <f aca="false">SUM(J2:J13)</f>
        <v>125862</v>
      </c>
      <c r="K14" s="8" t="n">
        <f aca="false">SUM(K2:K13)</f>
        <v>900</v>
      </c>
      <c r="L14" s="6"/>
      <c r="M14" s="6"/>
    </row>
  </sheetData>
  <autoFilter ref="A1:M13"/>
  <conditionalFormatting sqref="A2:M13">
    <cfRule type="expression" priority="2" aboveAverage="0" equalAverage="0" bottom="0" percent="0" rank="0" text="" dxfId="4">
      <formula>$L2="проверить"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1"/>
    <col collapsed="false" customWidth="true" hidden="false" outlineLevel="0" max="3" min="3" style="1" width="5"/>
    <col collapsed="false" customWidth="true" hidden="false" outlineLevel="0" max="4" min="4" style="1" width="40"/>
    <col collapsed="false" customWidth="true" hidden="false" outlineLevel="0" max="5" min="5" style="1" width="8"/>
    <col collapsed="false" customWidth="true" hidden="false" outlineLevel="0" max="6" min="6" style="1" width="6"/>
    <col collapsed="false" customWidth="true" hidden="false" outlineLevel="0" max="7" min="7" style="1" width="12"/>
    <col collapsed="false" customWidth="true" hidden="false" outlineLevel="0" max="9" min="8" style="1" width="15"/>
    <col collapsed="false" customWidth="true" hidden="false" outlineLevel="0" max="10" min="10" style="1" width="14"/>
    <col collapsed="false" customWidth="true" hidden="false" outlineLevel="0" max="11" min="11" style="1" width="32"/>
  </cols>
  <sheetData>
    <row r="1" customFormat="false" ht="30" hidden="false" customHeight="true" outlineLevel="0" collapsed="false">
      <c r="A1" s="2" t="s">
        <v>0</v>
      </c>
      <c r="B1" s="2" t="s">
        <v>2</v>
      </c>
      <c r="C1" s="2" t="s">
        <v>55</v>
      </c>
      <c r="D1" s="2" t="s">
        <v>56</v>
      </c>
      <c r="E1" s="2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</row>
    <row r="2" customFormat="false" ht="15" hidden="false" customHeight="false" outlineLevel="0" collapsed="false">
      <c r="A2" s="3" t="s">
        <v>13</v>
      </c>
      <c r="B2" s="3" t="s">
        <v>15</v>
      </c>
      <c r="C2" s="3" t="n">
        <v>1</v>
      </c>
      <c r="D2" s="3" t="s">
        <v>64</v>
      </c>
      <c r="E2" s="3" t="n">
        <v>6</v>
      </c>
      <c r="F2" s="3" t="s">
        <v>65</v>
      </c>
      <c r="G2" s="5" t="n">
        <v>64</v>
      </c>
      <c r="H2" s="5" t="n">
        <v>384</v>
      </c>
      <c r="I2" s="5" t="n">
        <f aca="false">ROUND(E2*G2,2)</f>
        <v>384</v>
      </c>
      <c r="J2" s="3" t="str">
        <f aca="false">IF(OR(K2&lt;&gt;"",ABS(H2-I2)&gt;=0.01),"проверить","ок")</f>
        <v>ок</v>
      </c>
      <c r="K2" s="3"/>
    </row>
    <row r="3" customFormat="false" ht="15" hidden="false" customHeight="false" outlineLevel="0" collapsed="false">
      <c r="A3" s="3" t="s">
        <v>13</v>
      </c>
      <c r="B3" s="3" t="s">
        <v>15</v>
      </c>
      <c r="C3" s="3" t="n">
        <v>2</v>
      </c>
      <c r="D3" s="3" t="s">
        <v>66</v>
      </c>
      <c r="E3" s="3" t="n">
        <v>3</v>
      </c>
      <c r="F3" s="3" t="s">
        <v>67</v>
      </c>
      <c r="G3" s="5" t="n">
        <v>39</v>
      </c>
      <c r="H3" s="5" t="n">
        <v>117</v>
      </c>
      <c r="I3" s="5" t="n">
        <f aca="false">ROUND(E3*G3,2)</f>
        <v>117</v>
      </c>
      <c r="J3" s="3" t="str">
        <f aca="false">IF(OR(K3&lt;&gt;"",ABS(H3-I3)&gt;=0.01),"проверить","ок")</f>
        <v>ок</v>
      </c>
      <c r="K3" s="3"/>
    </row>
    <row r="4" customFormat="false" ht="15" hidden="false" customHeight="false" outlineLevel="0" collapsed="false">
      <c r="A4" s="3" t="s">
        <v>19</v>
      </c>
      <c r="B4" s="3" t="s">
        <v>20</v>
      </c>
      <c r="C4" s="3" t="n">
        <v>1</v>
      </c>
      <c r="D4" s="3" t="s">
        <v>68</v>
      </c>
      <c r="E4" s="3" t="n">
        <v>5</v>
      </c>
      <c r="F4" s="3" t="s">
        <v>65</v>
      </c>
      <c r="G4" s="5" t="n">
        <v>590</v>
      </c>
      <c r="H4" s="5" t="n">
        <v>2950</v>
      </c>
      <c r="I4" s="5" t="n">
        <f aca="false">ROUND(E4*G4,2)</f>
        <v>2950</v>
      </c>
      <c r="J4" s="3" t="str">
        <f aca="false">IF(OR(K4&lt;&gt;"",ABS(H4-I4)&gt;=0.01),"проверить","ок")</f>
        <v>ок</v>
      </c>
      <c r="K4" s="3"/>
    </row>
    <row r="5" customFormat="false" ht="15" hidden="false" customHeight="false" outlineLevel="0" collapsed="false">
      <c r="A5" s="3" t="s">
        <v>19</v>
      </c>
      <c r="B5" s="3" t="s">
        <v>20</v>
      </c>
      <c r="C5" s="3" t="n">
        <v>2</v>
      </c>
      <c r="D5" s="3" t="s">
        <v>69</v>
      </c>
      <c r="E5" s="3" t="n">
        <v>8</v>
      </c>
      <c r="F5" s="3" t="s">
        <v>65</v>
      </c>
      <c r="G5" s="5" t="n">
        <v>210</v>
      </c>
      <c r="H5" s="5" t="n">
        <v>1680</v>
      </c>
      <c r="I5" s="5" t="n">
        <f aca="false">ROUND(E5*G5,2)</f>
        <v>1680</v>
      </c>
      <c r="J5" s="3" t="str">
        <f aca="false">IF(OR(K5&lt;&gt;"",ABS(H5-I5)&gt;=0.01),"проверить","ок")</f>
        <v>ок</v>
      </c>
      <c r="K5" s="3"/>
    </row>
    <row r="6" customFormat="false" ht="15" hidden="false" customHeight="false" outlineLevel="0" collapsed="false">
      <c r="A6" s="3" t="s">
        <v>19</v>
      </c>
      <c r="B6" s="3" t="s">
        <v>20</v>
      </c>
      <c r="C6" s="3" t="n">
        <v>3</v>
      </c>
      <c r="D6" s="3" t="s">
        <v>70</v>
      </c>
      <c r="E6" s="3" t="n">
        <v>4</v>
      </c>
      <c r="F6" s="3" t="s">
        <v>65</v>
      </c>
      <c r="G6" s="5" t="n">
        <v>1190</v>
      </c>
      <c r="H6" s="5" t="n">
        <v>4760</v>
      </c>
      <c r="I6" s="5" t="n">
        <f aca="false">ROUND(E6*G6,2)</f>
        <v>4760</v>
      </c>
      <c r="J6" s="3" t="str">
        <f aca="false">IF(OR(K6&lt;&gt;"",ABS(H6-I6)&gt;=0.01),"проверить","ок")</f>
        <v>ок</v>
      </c>
      <c r="K6" s="3"/>
    </row>
    <row r="7" customFormat="false" ht="15" hidden="false" customHeight="false" outlineLevel="0" collapsed="false">
      <c r="A7" s="3" t="s">
        <v>19</v>
      </c>
      <c r="B7" s="3" t="s">
        <v>20</v>
      </c>
      <c r="C7" s="3" t="n">
        <v>4</v>
      </c>
      <c r="D7" s="3" t="s">
        <v>71</v>
      </c>
      <c r="E7" s="3" t="n">
        <v>1</v>
      </c>
      <c r="F7" s="3" t="s">
        <v>65</v>
      </c>
      <c r="G7" s="5" t="n">
        <v>2890</v>
      </c>
      <c r="H7" s="5" t="n">
        <v>2890</v>
      </c>
      <c r="I7" s="5" t="n">
        <f aca="false">ROUND(E7*G7,2)</f>
        <v>2890</v>
      </c>
      <c r="J7" s="3" t="str">
        <f aca="false">IF(OR(K7&lt;&gt;"",ABS(H7-I7)&gt;=0.01),"проверить","ок")</f>
        <v>ок</v>
      </c>
      <c r="K7" s="3"/>
    </row>
    <row r="8" customFormat="false" ht="15" hidden="false" customHeight="false" outlineLevel="0" collapsed="false">
      <c r="A8" s="3" t="s">
        <v>23</v>
      </c>
      <c r="B8" s="3" t="s">
        <v>24</v>
      </c>
      <c r="C8" s="3" t="n">
        <v>1</v>
      </c>
      <c r="D8" s="3" t="s">
        <v>72</v>
      </c>
      <c r="E8" s="3" t="n">
        <v>3</v>
      </c>
      <c r="F8" s="3" t="s">
        <v>73</v>
      </c>
      <c r="G8" s="5" t="n">
        <v>3150</v>
      </c>
      <c r="H8" s="5" t="n">
        <v>9450</v>
      </c>
      <c r="I8" s="5" t="n">
        <f aca="false">ROUND(E8*G8,2)</f>
        <v>9450</v>
      </c>
      <c r="J8" s="3" t="str">
        <f aca="false">IF(OR(K8&lt;&gt;"",ABS(H8-I8)&gt;=0.01),"проверить","ок")</f>
        <v>ок</v>
      </c>
      <c r="K8" s="3"/>
    </row>
    <row r="9" customFormat="false" ht="15" hidden="false" customHeight="false" outlineLevel="0" collapsed="false">
      <c r="A9" s="3" t="s">
        <v>23</v>
      </c>
      <c r="B9" s="3" t="s">
        <v>24</v>
      </c>
      <c r="C9" s="3" t="n">
        <v>2</v>
      </c>
      <c r="D9" s="3" t="s">
        <v>74</v>
      </c>
      <c r="E9" s="3" t="n">
        <v>31</v>
      </c>
      <c r="F9" s="3" t="s">
        <v>65</v>
      </c>
      <c r="G9" s="5" t="n">
        <v>45</v>
      </c>
      <c r="H9" s="5" t="n">
        <v>1395</v>
      </c>
      <c r="I9" s="5" t="n">
        <f aca="false">ROUND(E9*G9,2)</f>
        <v>1395</v>
      </c>
      <c r="J9" s="3" t="str">
        <f aca="false">IF(OR(K9&lt;&gt;"",ABS(H9-I9)&gt;=0.01),"проверить","ок")</f>
        <v>ок</v>
      </c>
      <c r="K9" s="3"/>
    </row>
    <row r="10" customFormat="false" ht="15" hidden="false" customHeight="false" outlineLevel="0" collapsed="false">
      <c r="A10" s="3" t="s">
        <v>27</v>
      </c>
      <c r="B10" s="3" t="s">
        <v>29</v>
      </c>
      <c r="C10" s="3" t="n">
        <v>1</v>
      </c>
      <c r="D10" s="3" t="s">
        <v>75</v>
      </c>
      <c r="E10" s="3" t="n">
        <v>3</v>
      </c>
      <c r="F10" s="3" t="s">
        <v>65</v>
      </c>
      <c r="G10" s="5" t="n">
        <v>640</v>
      </c>
      <c r="H10" s="5" t="n">
        <v>1920</v>
      </c>
      <c r="I10" s="5" t="n">
        <f aca="false">ROUND(E10*G10,2)</f>
        <v>1920</v>
      </c>
      <c r="J10" s="3" t="str">
        <f aca="false">IF(OR(K10&lt;&gt;"",ABS(H10-I10)&gt;=0.01),"проверить","ок")</f>
        <v>ок</v>
      </c>
      <c r="K10" s="3"/>
    </row>
    <row r="11" customFormat="false" ht="15" hidden="false" customHeight="false" outlineLevel="0" collapsed="false">
      <c r="A11" s="3" t="s">
        <v>27</v>
      </c>
      <c r="B11" s="3" t="s">
        <v>29</v>
      </c>
      <c r="C11" s="3" t="n">
        <v>2</v>
      </c>
      <c r="D11" s="3" t="s">
        <v>76</v>
      </c>
      <c r="E11" s="3" t="n">
        <v>9</v>
      </c>
      <c r="F11" s="3" t="s">
        <v>67</v>
      </c>
      <c r="G11" s="5" t="n">
        <v>215</v>
      </c>
      <c r="H11" s="5" t="n">
        <v>1935</v>
      </c>
      <c r="I11" s="5" t="n">
        <f aca="false">ROUND(E11*G11,2)</f>
        <v>1935</v>
      </c>
      <c r="J11" s="3" t="str">
        <f aca="false">IF(OR(K11&lt;&gt;"",ABS(H11-I11)&gt;=0.01),"проверить","ок")</f>
        <v>ок</v>
      </c>
      <c r="K11" s="3"/>
    </row>
    <row r="12" customFormat="false" ht="15" hidden="false" customHeight="false" outlineLevel="0" collapsed="false">
      <c r="A12" s="3" t="s">
        <v>32</v>
      </c>
      <c r="B12" s="3" t="s">
        <v>33</v>
      </c>
      <c r="C12" s="3" t="n">
        <v>1</v>
      </c>
      <c r="D12" s="3" t="s">
        <v>77</v>
      </c>
      <c r="E12" s="3" t="n">
        <v>2</v>
      </c>
      <c r="F12" s="3" t="s">
        <v>73</v>
      </c>
      <c r="G12" s="5" t="n">
        <v>500</v>
      </c>
      <c r="H12" s="5" t="n">
        <v>1000</v>
      </c>
      <c r="I12" s="5" t="n">
        <f aca="false">ROUND(E12*G12,2)</f>
        <v>1000</v>
      </c>
      <c r="J12" s="3" t="str">
        <f aca="false">IF(OR(K12&lt;&gt;"",ABS(H12-I12)&gt;=0.01),"проверить","ок")</f>
        <v>ок</v>
      </c>
      <c r="K12" s="3"/>
    </row>
    <row r="13" customFormat="false" ht="15" hidden="false" customHeight="false" outlineLevel="0" collapsed="false">
      <c r="A13" s="3" t="s">
        <v>32</v>
      </c>
      <c r="B13" s="3" t="s">
        <v>33</v>
      </c>
      <c r="C13" s="3" t="n">
        <v>2</v>
      </c>
      <c r="D13" s="3" t="s">
        <v>78</v>
      </c>
      <c r="E13" s="3" t="n">
        <v>9</v>
      </c>
      <c r="F13" s="3" t="s">
        <v>79</v>
      </c>
      <c r="G13" s="5" t="n">
        <v>390</v>
      </c>
      <c r="H13" s="5" t="n">
        <v>3510</v>
      </c>
      <c r="I13" s="5" t="n">
        <f aca="false">ROUND(E13*G13,2)</f>
        <v>3510</v>
      </c>
      <c r="J13" s="3" t="str">
        <f aca="false">IF(OR(K13&lt;&gt;"",ABS(H13-I13)&gt;=0.01),"проверить","ок")</f>
        <v>ок</v>
      </c>
      <c r="K13" s="3"/>
    </row>
    <row r="14" customFormat="false" ht="15" hidden="false" customHeight="false" outlineLevel="0" collapsed="false">
      <c r="A14" s="3" t="s">
        <v>36</v>
      </c>
      <c r="B14" s="3" t="s">
        <v>38</v>
      </c>
      <c r="C14" s="3" t="n">
        <v>1</v>
      </c>
      <c r="D14" s="3" t="s">
        <v>80</v>
      </c>
      <c r="E14" s="3" t="n">
        <v>1</v>
      </c>
      <c r="F14" s="3"/>
      <c r="G14" s="5" t="n">
        <v>6890</v>
      </c>
      <c r="H14" s="5" t="n">
        <v>6890</v>
      </c>
      <c r="I14" s="5" t="n">
        <f aca="false">ROUND(E14*G14,2)</f>
        <v>6890</v>
      </c>
      <c r="J14" s="3" t="str">
        <f aca="false">IF(OR(K14&lt;&gt;"",ABS(H14-I14)&gt;=0.01),"проверить","ок")</f>
        <v>проверить</v>
      </c>
      <c r="K14" s="3" t="s">
        <v>81</v>
      </c>
    </row>
    <row r="15" customFormat="false" ht="15" hidden="false" customHeight="false" outlineLevel="0" collapsed="false">
      <c r="A15" s="3" t="s">
        <v>36</v>
      </c>
      <c r="B15" s="3" t="s">
        <v>38</v>
      </c>
      <c r="C15" s="3" t="n">
        <v>2</v>
      </c>
      <c r="D15" s="3" t="s">
        <v>82</v>
      </c>
      <c r="E15" s="3" t="n">
        <v>1</v>
      </c>
      <c r="F15" s="3" t="s">
        <v>65</v>
      </c>
      <c r="G15" s="5" t="n">
        <v>8450</v>
      </c>
      <c r="H15" s="5" t="n">
        <v>8450</v>
      </c>
      <c r="I15" s="5" t="n">
        <f aca="false">ROUND(E15*G15,2)</f>
        <v>8450</v>
      </c>
      <c r="J15" s="3" t="str">
        <f aca="false">IF(OR(K15&lt;&gt;"",ABS(H15-I15)&gt;=0.01),"проверить","ок")</f>
        <v>ок</v>
      </c>
      <c r="K15" s="3"/>
    </row>
    <row r="16" customFormat="false" ht="15" hidden="false" customHeight="false" outlineLevel="0" collapsed="false">
      <c r="A16" s="3" t="s">
        <v>42</v>
      </c>
      <c r="B16" s="3" t="s">
        <v>43</v>
      </c>
      <c r="C16" s="3" t="n">
        <v>1</v>
      </c>
      <c r="D16" s="3" t="s">
        <v>66</v>
      </c>
      <c r="E16" s="3" t="n">
        <v>8</v>
      </c>
      <c r="F16" s="3" t="s">
        <v>67</v>
      </c>
      <c r="G16" s="5" t="n">
        <v>39</v>
      </c>
      <c r="H16" s="5" t="n">
        <v>312</v>
      </c>
      <c r="I16" s="5" t="n">
        <f aca="false">ROUND(E16*G16,2)</f>
        <v>312</v>
      </c>
      <c r="J16" s="3" t="str">
        <f aca="false">IF(OR(K16&lt;&gt;"",ABS(H16-I16)&gt;=0.01),"проверить","ок")</f>
        <v>ок</v>
      </c>
      <c r="K16" s="3"/>
    </row>
    <row r="17" customFormat="false" ht="15" hidden="false" customHeight="false" outlineLevel="0" collapsed="false">
      <c r="A17" s="3" t="s">
        <v>42</v>
      </c>
      <c r="B17" s="3" t="s">
        <v>43</v>
      </c>
      <c r="C17" s="3" t="n">
        <v>2</v>
      </c>
      <c r="D17" s="3" t="s">
        <v>83</v>
      </c>
      <c r="E17" s="3" t="n">
        <v>70</v>
      </c>
      <c r="F17" s="3" t="s">
        <v>65</v>
      </c>
      <c r="G17" s="5" t="n">
        <v>24.5</v>
      </c>
      <c r="H17" s="5" t="n">
        <v>1715</v>
      </c>
      <c r="I17" s="5" t="n">
        <f aca="false">ROUND(E17*G17,2)</f>
        <v>1715</v>
      </c>
      <c r="J17" s="3" t="str">
        <f aca="false">IF(OR(K17&lt;&gt;"",ABS(H17-I17)&gt;=0.01),"проверить","ок")</f>
        <v>ок</v>
      </c>
      <c r="K17" s="3"/>
    </row>
    <row r="18" customFormat="false" ht="15" hidden="false" customHeight="false" outlineLevel="0" collapsed="false">
      <c r="A18" s="3" t="s">
        <v>44</v>
      </c>
      <c r="B18" s="3" t="s">
        <v>45</v>
      </c>
      <c r="C18" s="3" t="n">
        <v>1</v>
      </c>
      <c r="D18" s="3" t="s">
        <v>71</v>
      </c>
      <c r="E18" s="3" t="n">
        <v>4</v>
      </c>
      <c r="F18" s="3" t="s">
        <v>65</v>
      </c>
      <c r="G18" s="5" t="n">
        <v>2890</v>
      </c>
      <c r="H18" s="5" t="n">
        <v>11560</v>
      </c>
      <c r="I18" s="5" t="n">
        <f aca="false">ROUND(E18*G18,2)</f>
        <v>11560</v>
      </c>
      <c r="J18" s="3" t="str">
        <f aca="false">IF(OR(K18&lt;&gt;"",ABS(H18-I18)&gt;=0.01),"проверить","ок")</f>
        <v>ок</v>
      </c>
      <c r="K18" s="3"/>
    </row>
    <row r="19" customFormat="false" ht="15" hidden="false" customHeight="false" outlineLevel="0" collapsed="false">
      <c r="A19" s="3" t="s">
        <v>44</v>
      </c>
      <c r="B19" s="3" t="s">
        <v>45</v>
      </c>
      <c r="C19" s="3" t="n">
        <v>2</v>
      </c>
      <c r="D19" s="3" t="s">
        <v>70</v>
      </c>
      <c r="E19" s="3" t="n">
        <v>3</v>
      </c>
      <c r="F19" s="3" t="s">
        <v>65</v>
      </c>
      <c r="G19" s="5" t="n">
        <v>1190</v>
      </c>
      <c r="H19" s="5" t="n">
        <v>3570</v>
      </c>
      <c r="I19" s="5" t="n">
        <f aca="false">ROUND(E19*G19,2)</f>
        <v>3570</v>
      </c>
      <c r="J19" s="3" t="str">
        <f aca="false">IF(OR(K19&lt;&gt;"",ABS(H19-I19)&gt;=0.01),"проверить","ок")</f>
        <v>ок</v>
      </c>
      <c r="K19" s="3"/>
    </row>
    <row r="20" customFormat="false" ht="15" hidden="false" customHeight="false" outlineLevel="0" collapsed="false">
      <c r="A20" s="3" t="s">
        <v>44</v>
      </c>
      <c r="B20" s="3" t="s">
        <v>45</v>
      </c>
      <c r="C20" s="3" t="n">
        <v>3</v>
      </c>
      <c r="D20" s="3" t="s">
        <v>69</v>
      </c>
      <c r="E20" s="3" t="n">
        <v>3</v>
      </c>
      <c r="F20" s="3" t="s">
        <v>65</v>
      </c>
      <c r="G20" s="5" t="n">
        <v>210</v>
      </c>
      <c r="H20" s="5" t="n">
        <v>630</v>
      </c>
      <c r="I20" s="5" t="n">
        <f aca="false">ROUND(E20*G20,2)</f>
        <v>630</v>
      </c>
      <c r="J20" s="3" t="str">
        <f aca="false">IF(OR(K20&lt;&gt;"",ABS(H20-I20)&gt;=0.01),"проверить","ок")</f>
        <v>ок</v>
      </c>
      <c r="K20" s="3"/>
    </row>
    <row r="21" customFormat="false" ht="15" hidden="false" customHeight="false" outlineLevel="0" collapsed="false">
      <c r="A21" s="3" t="s">
        <v>46</v>
      </c>
      <c r="B21" s="3" t="s">
        <v>47</v>
      </c>
      <c r="C21" s="3" t="n">
        <v>1</v>
      </c>
      <c r="D21" s="3" t="s">
        <v>76</v>
      </c>
      <c r="E21" s="3" t="n">
        <v>8</v>
      </c>
      <c r="F21" s="3" t="s">
        <v>67</v>
      </c>
      <c r="G21" s="5" t="n">
        <v>215</v>
      </c>
      <c r="H21" s="5" t="n">
        <v>1720</v>
      </c>
      <c r="I21" s="5" t="n">
        <f aca="false">ROUND(E21*G21,2)</f>
        <v>1720</v>
      </c>
      <c r="J21" s="3" t="str">
        <f aca="false">IF(OR(K21&lt;&gt;"",ABS(H21-I21)&gt;=0.01),"проверить","ок")</f>
        <v>ок</v>
      </c>
      <c r="K21" s="3"/>
    </row>
    <row r="22" customFormat="false" ht="15" hidden="false" customHeight="false" outlineLevel="0" collapsed="false">
      <c r="A22" s="3" t="s">
        <v>46</v>
      </c>
      <c r="B22" s="3" t="s">
        <v>47</v>
      </c>
      <c r="C22" s="3" t="n">
        <v>2</v>
      </c>
      <c r="D22" s="3" t="s">
        <v>84</v>
      </c>
      <c r="E22" s="3" t="n">
        <v>24</v>
      </c>
      <c r="F22" s="3" t="s">
        <v>85</v>
      </c>
      <c r="G22" s="5" t="n">
        <v>58</v>
      </c>
      <c r="H22" s="5" t="n">
        <v>1392</v>
      </c>
      <c r="I22" s="5" t="n">
        <f aca="false">ROUND(E22*G22,2)</f>
        <v>1392</v>
      </c>
      <c r="J22" s="3" t="str">
        <f aca="false">IF(OR(K22&lt;&gt;"",ABS(H22-I22)&gt;=0.01),"проверить","ок")</f>
        <v>ок</v>
      </c>
      <c r="K22" s="3"/>
    </row>
    <row r="23" customFormat="false" ht="15" hidden="false" customHeight="false" outlineLevel="0" collapsed="false">
      <c r="A23" s="3" t="s">
        <v>46</v>
      </c>
      <c r="B23" s="3" t="s">
        <v>47</v>
      </c>
      <c r="C23" s="3" t="n">
        <v>3</v>
      </c>
      <c r="D23" s="3" t="s">
        <v>86</v>
      </c>
      <c r="E23" s="3" t="n">
        <v>8</v>
      </c>
      <c r="F23" s="3" t="s">
        <v>67</v>
      </c>
      <c r="G23" s="5" t="n">
        <v>189</v>
      </c>
      <c r="H23" s="5" t="n">
        <v>1512</v>
      </c>
      <c r="I23" s="5" t="n">
        <f aca="false">ROUND(E23*G23,2)</f>
        <v>1512</v>
      </c>
      <c r="J23" s="3" t="str">
        <f aca="false">IF(OR(K23&lt;&gt;"",ABS(H23-I23)&gt;=0.01),"проверить","ок")</f>
        <v>ок</v>
      </c>
      <c r="K23" s="3"/>
    </row>
    <row r="24" customFormat="false" ht="15" hidden="false" customHeight="false" outlineLevel="0" collapsed="false">
      <c r="A24" s="3" t="s">
        <v>46</v>
      </c>
      <c r="B24" s="3" t="s">
        <v>47</v>
      </c>
      <c r="C24" s="3" t="n">
        <v>4</v>
      </c>
      <c r="D24" s="3" t="s">
        <v>75</v>
      </c>
      <c r="E24" s="3" t="n">
        <v>1</v>
      </c>
      <c r="F24" s="3" t="s">
        <v>65</v>
      </c>
      <c r="G24" s="5" t="n">
        <v>640</v>
      </c>
      <c r="H24" s="5" t="n">
        <v>640</v>
      </c>
      <c r="I24" s="5" t="n">
        <f aca="false">ROUND(E24*G24,2)</f>
        <v>640</v>
      </c>
      <c r="J24" s="3" t="str">
        <f aca="false">IF(OR(K24&lt;&gt;"",ABS(H24-I24)&gt;=0.01),"проверить","ок")</f>
        <v>ок</v>
      </c>
      <c r="K24" s="3"/>
    </row>
    <row r="25" customFormat="false" ht="15" hidden="false" customHeight="false" outlineLevel="0" collapsed="false">
      <c r="A25" s="3" t="s">
        <v>48</v>
      </c>
      <c r="B25" s="3" t="s">
        <v>49</v>
      </c>
      <c r="C25" s="3" t="n">
        <v>1</v>
      </c>
      <c r="D25" s="3" t="s">
        <v>87</v>
      </c>
      <c r="E25" s="3" t="n">
        <v>1</v>
      </c>
      <c r="F25" s="3" t="s">
        <v>73</v>
      </c>
      <c r="G25" s="5" t="n">
        <v>2400</v>
      </c>
      <c r="H25" s="5" t="n">
        <v>2400</v>
      </c>
      <c r="I25" s="5" t="n">
        <f aca="false">ROUND(E25*G25,2)</f>
        <v>2400</v>
      </c>
      <c r="J25" s="3" t="str">
        <f aca="false">IF(OR(K25&lt;&gt;"",ABS(H25-I25)&gt;=0.01),"проверить","ок")</f>
        <v>ок</v>
      </c>
      <c r="K25" s="3"/>
    </row>
    <row r="26" customFormat="false" ht="15" hidden="false" customHeight="false" outlineLevel="0" collapsed="false">
      <c r="A26" s="3" t="s">
        <v>48</v>
      </c>
      <c r="B26" s="3" t="s">
        <v>49</v>
      </c>
      <c r="C26" s="3" t="n">
        <v>2</v>
      </c>
      <c r="D26" s="3" t="s">
        <v>74</v>
      </c>
      <c r="E26" s="3" t="n">
        <v>10</v>
      </c>
      <c r="F26" s="3" t="s">
        <v>65</v>
      </c>
      <c r="G26" s="5" t="n">
        <v>45</v>
      </c>
      <c r="H26" s="5" t="n">
        <v>450</v>
      </c>
      <c r="I26" s="5" t="n">
        <f aca="false">ROUND(E26*G26,2)</f>
        <v>450</v>
      </c>
      <c r="J26" s="3" t="str">
        <f aca="false">IF(OR(K26&lt;&gt;"",ABS(H26-I26)&gt;=0.01),"проверить","ок")</f>
        <v>ок</v>
      </c>
      <c r="K26" s="3"/>
    </row>
    <row r="27" customFormat="false" ht="15" hidden="false" customHeight="false" outlineLevel="0" collapsed="false">
      <c r="A27" s="3" t="s">
        <v>50</v>
      </c>
      <c r="B27" s="3" t="s">
        <v>51</v>
      </c>
      <c r="C27" s="3" t="n">
        <v>1</v>
      </c>
      <c r="D27" s="3" t="s">
        <v>77</v>
      </c>
      <c r="E27" s="3" t="n">
        <v>1</v>
      </c>
      <c r="F27" s="3" t="s">
        <v>73</v>
      </c>
      <c r="G27" s="5" t="n">
        <v>500</v>
      </c>
      <c r="H27" s="5" t="n">
        <v>500</v>
      </c>
      <c r="I27" s="5" t="n">
        <f aca="false">ROUND(E27*G27,2)</f>
        <v>500</v>
      </c>
      <c r="J27" s="3" t="str">
        <f aca="false">IF(OR(K27&lt;&gt;"",ABS(H27-I27)&gt;=0.01),"проверить","ок")</f>
        <v>ок</v>
      </c>
      <c r="K27" s="3"/>
    </row>
    <row r="28" customFormat="false" ht="15" hidden="false" customHeight="false" outlineLevel="0" collapsed="false">
      <c r="A28" s="3" t="s">
        <v>50</v>
      </c>
      <c r="B28" s="3" t="s">
        <v>51</v>
      </c>
      <c r="C28" s="3" t="n">
        <v>2</v>
      </c>
      <c r="D28" s="3" t="s">
        <v>78</v>
      </c>
      <c r="E28" s="3" t="n">
        <v>6</v>
      </c>
      <c r="F28" s="3" t="s">
        <v>79</v>
      </c>
      <c r="G28" s="5" t="n">
        <v>390</v>
      </c>
      <c r="H28" s="5" t="n">
        <v>2340</v>
      </c>
      <c r="I28" s="5" t="n">
        <f aca="false">ROUND(E28*G28,2)</f>
        <v>2340</v>
      </c>
      <c r="J28" s="3" t="str">
        <f aca="false">IF(OR(K28&lt;&gt;"",ABS(H28-I28)&gt;=0.01),"проверить","ок")</f>
        <v>ок</v>
      </c>
      <c r="K28" s="3"/>
    </row>
    <row r="29" customFormat="false" ht="15" hidden="false" customHeight="false" outlineLevel="0" collapsed="false">
      <c r="A29" s="3" t="s">
        <v>52</v>
      </c>
      <c r="B29" s="3" t="s">
        <v>53</v>
      </c>
      <c r="C29" s="3" t="n">
        <v>1</v>
      </c>
      <c r="D29" s="3" t="s">
        <v>82</v>
      </c>
      <c r="E29" s="3" t="n">
        <v>1</v>
      </c>
      <c r="F29" s="3" t="s">
        <v>65</v>
      </c>
      <c r="G29" s="5" t="n">
        <v>8450</v>
      </c>
      <c r="H29" s="5" t="n">
        <v>8450</v>
      </c>
      <c r="I29" s="5" t="n">
        <f aca="false">ROUND(E29*G29,2)</f>
        <v>8450</v>
      </c>
      <c r="J29" s="3" t="str">
        <f aca="false">IF(OR(K29&lt;&gt;"",ABS(H29-I29)&gt;=0.01),"проверить","ок")</f>
        <v>ок</v>
      </c>
      <c r="K29" s="3"/>
    </row>
    <row r="30" customFormat="false" ht="15" hidden="false" customHeight="false" outlineLevel="0" collapsed="false">
      <c r="A30" s="3" t="s">
        <v>52</v>
      </c>
      <c r="B30" s="3" t="s">
        <v>53</v>
      </c>
      <c r="C30" s="3" t="n">
        <v>2</v>
      </c>
      <c r="D30" s="3" t="s">
        <v>80</v>
      </c>
      <c r="E30" s="3" t="n">
        <v>6</v>
      </c>
      <c r="F30" s="3" t="s">
        <v>65</v>
      </c>
      <c r="G30" s="5" t="n">
        <v>6890</v>
      </c>
      <c r="H30" s="5" t="n">
        <v>41340</v>
      </c>
      <c r="I30" s="5" t="n">
        <f aca="false">ROUND(E30*G30,2)</f>
        <v>41340</v>
      </c>
      <c r="J30" s="3" t="str">
        <f aca="false">IF(OR(K30&lt;&gt;"",ABS(H30-I30)&gt;=0.01),"проверить","ок")</f>
        <v>ок</v>
      </c>
      <c r="K30" s="3"/>
    </row>
  </sheetData>
  <autoFilter ref="A1:K30"/>
  <conditionalFormatting sqref="A2:K30">
    <cfRule type="expression" priority="2" aboveAverage="0" equalAverage="0" bottom="0" percent="0" rank="0" text="" dxfId="4">
      <formula>$J2="проверить"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90"/>
  </cols>
  <sheetData>
    <row r="1" customFormat="false" ht="15" hidden="false" customHeight="false" outlineLevel="0" collapsed="false">
      <c r="A1" s="9" t="s">
        <v>88</v>
      </c>
      <c r="B1" s="10" t="s">
        <v>89</v>
      </c>
    </row>
    <row r="2" customFormat="false" ht="15" hidden="false" customHeight="false" outlineLevel="0" collapsed="false">
      <c r="A2" s="9" t="s">
        <v>90</v>
      </c>
      <c r="B2" s="10" t="s">
        <v>91</v>
      </c>
    </row>
    <row r="3" customFormat="false" ht="15" hidden="false" customHeight="false" outlineLevel="0" collapsed="false">
      <c r="A3" s="9" t="s">
        <v>92</v>
      </c>
      <c r="B3" s="10" t="s">
        <v>93</v>
      </c>
    </row>
    <row r="4" customFormat="false" ht="15" hidden="false" customHeight="false" outlineLevel="0" collapsed="false">
      <c r="A4" s="9" t="s">
        <v>94</v>
      </c>
      <c r="B4" s="10" t="s">
        <v>95</v>
      </c>
    </row>
    <row r="5" customFormat="false" ht="23.85" hidden="false" customHeight="false" outlineLevel="0" collapsed="false">
      <c r="A5" s="9" t="s">
        <v>96</v>
      </c>
      <c r="B5" s="10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2026-10-07T17:33:31Z</dcterms:created>
  <dc:creator>openpyxl</dc:creator>
  <dc:description/>
  <dc:language>en-US</dc:language>
  <cp:lastModifiedBy/>
  <dcterms:modified xsi:type="dcterms:W3CDTF">2026-10-07T17:33:31Z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